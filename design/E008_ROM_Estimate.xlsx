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M Estimate" sheetId="1" state="visible" r:id="rId3"/>
    <sheet name="Assumptions &amp; Exclus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<sst xmlns="http://schemas.openxmlformats.org/spreadsheetml/2006/main" count="215" uniqueCount="168">
  <si>
    <t xml:space="preserve">E008 Custom Vaccine Ordering Application — ROM Development Estimate</t>
  </si>
  <si>
    <t xml:space="preserve">Basis: E008 Solution Functional Specification (DRAFT 07/24/2026). Accuracy class: ROM (-25% / +75%). Person-days (PD) = 8 productive hours.</t>
  </si>
  <si>
    <t xml:space="preserve">Blue cells are input estimates — adjust per line; all subtotals/totals recalculate. Yellow cells are global levers.</t>
  </si>
  <si>
    <t xml:space="preserve">1. RAP Behavior Layer (backend)</t>
  </si>
  <si>
    <t xml:space="preserve">#</t>
  </si>
  <si>
    <t xml:space="preserve">Work Item</t>
  </si>
  <si>
    <t xml:space="preserve">Low (PD)</t>
  </si>
  <si>
    <t xml:space="preserve">High (PD)</t>
  </si>
  <si>
    <t xml:space="preserve">Mid (PD)</t>
  </si>
  <si>
    <t xml:space="preserve">Notes / Drivers</t>
  </si>
  <si>
    <t xml:space="preserve">1.1</t>
  </si>
  <si>
    <t xml:space="preserve">BO design; CDS interface &amp; projection views (cockpit + search projection)</t>
  </si>
  <si>
    <t xml:space="preserve">Vaccine Request TP model over I_SalesDocument*; search projection sized after OI-5 load figures</t>
  </si>
  <si>
    <t xml:space="preserve">1.2</t>
  </si>
  <si>
    <t xml:space="preserve">Unmanaged CRUD: create/update/read mapping to standard SD order API; transactional buffer; late numbering</t>
  </si>
  <si>
    <t xml:space="preserve">Highest-uncertainty backend item; includes VBKD/partner/user-status handling</t>
  </si>
  <si>
    <t xml:space="preserve">1.3</t>
  </si>
  <si>
    <t xml:space="preserve">E006 validation integration on save/resubmit (hard/soft stop mapping, message container)</t>
  </si>
  <si>
    <t xml:space="preserve">Assumes E006 exposes a callable rule interface; if not, add integration design effort</t>
  </si>
  <si>
    <t xml:space="preserve">1.4</t>
  </si>
  <si>
    <t xml:space="preserve">Determinations (Channel, Employee Responsible, defaults, currency)</t>
  </si>
  <si>
    <t xml:space="preserve">1.5</t>
  </si>
  <si>
    <t xml:space="preserve">Dynamic feature control from status dictionary (field-level x status x role)</t>
  </si>
  <si>
    <t xml:space="preserve">Blocked until OI-1 status dictionary ratified</t>
  </si>
  <si>
    <t xml:space="preserve">1.6</t>
  </si>
  <si>
    <t xml:space="preserve">Instance authorization (jurisdiction: Grantee↔Sales Office) + action-level auth</t>
  </si>
  <si>
    <t xml:space="preserve">Includes negative-path tests for direct OData bypass (Test 19)</t>
  </si>
  <si>
    <t xml:space="preserve">1.7</t>
  </si>
  <si>
    <t xml:space="preserve">Action: copyOrder incl. fund-split repopulation &amp; ancillary-kit re-application</t>
  </si>
  <si>
    <t xml:space="preserve">Exceptions live in the action (E013/E014/E024 calls)</t>
  </si>
  <si>
    <t xml:space="preserve">1.8</t>
  </si>
  <si>
    <t xml:space="preserve">Actions: cancelOrder / cancelItem incl. matrix + direct-ship PO/PR cascade</t>
  </si>
  <si>
    <t xml:space="preserve">PO/PR cascade for CDC direct-ship cancel is the driver</t>
  </si>
  <si>
    <t xml:space="preserve">1.9</t>
  </si>
  <si>
    <t xml:space="preserve">Action: unCancelItem (CDC) incl. budget/SPC re-commitment call + notification + audit</t>
  </si>
  <si>
    <t xml:space="preserve">CONDITIONAL — pending OI-2 scope confirmation; excluded via toggle on Summary</t>
  </si>
  <si>
    <t xml:space="preserve">1.10</t>
  </si>
  <si>
    <t xml:space="preserve">Actions: createReturn / createReplacement (budget bypass) / resubmit / print trigger</t>
  </si>
  <si>
    <t xml:space="preserve">Replacement modeled as distinct role-bound action</t>
  </si>
  <si>
    <t xml:space="preserve">1.11</t>
  </si>
  <si>
    <t xml:space="preserve">EML unit test suite (validations, matrix, actions)</t>
  </si>
  <si>
    <t xml:space="preserve">Exit criterion for behavior layer</t>
  </si>
  <si>
    <t xml:space="preserve">Subtotal — Backend</t>
  </si>
  <si>
    <t xml:space="preserve">2. Freestyle Cockpit (SAPUI5, OData V4)</t>
  </si>
  <si>
    <t xml:space="preserve">2.1</t>
  </si>
  <si>
    <t xml:space="preserve">App shell, routing, V4 model setup, layout skeleton (single working surface)</t>
  </si>
  <si>
    <t xml:space="preserve">2.2</t>
  </si>
  <si>
    <t xml:space="preserve">Header section: provider entry/roundtrip/read-only, address generation, contact popup, defaults</t>
  </si>
  <si>
    <t xml:space="preserve">Contact popup with main-contact pinning per FSD</t>
  </si>
  <si>
    <t xml:space="preserve">2.3</t>
  </si>
  <si>
    <t xml:space="preserve">Items table: interdependent enablement (Qty→Fund Type), NDC derivations, line rules</t>
  </si>
  <si>
    <t xml:space="preserve">Side-effect driven; ancillary/special-circumstance messages surfaced per line</t>
  </si>
  <si>
    <t xml:space="preserve">2.4</t>
  </si>
  <si>
    <t xml:space="preserve">Inventory on Hand block: Edit List, insert/delete rows, touched-line rule</t>
  </si>
  <si>
    <t xml:space="preserve">Reuses E007 consignment read; E007 interface assumed available</t>
  </si>
  <si>
    <t xml:space="preserve">2.5</t>
  </si>
  <si>
    <t xml:space="preserve">Shipping / Alt-Shipping / Org Data / Transactions / History sections</t>
  </si>
  <si>
    <t xml:space="preserve">Mostly display + dropdowns</t>
  </si>
  <si>
    <t xml:space="preserve">2.6</t>
  </si>
  <si>
    <t xml:space="preserve">Cascading custom value helps (Provider, ER+user, NDC 4-condition, Contact 1a–1e, Ship-to, Created By)</t>
  </si>
  <si>
    <t xml:space="preserve">Largest single frontend item; Contact help alone has 5 sub-dialogs; built as shared fragments</t>
  </si>
  <si>
    <t xml:space="preserve">2.7</t>
  </si>
  <si>
    <t xml:space="preserve">Message handling, side effects, unsaved-changes guard, action wiring (copy/cancel/un-cancel/return/replacement/resubmit/print)</t>
  </si>
  <si>
    <t xml:space="preserve">2.8</t>
  </si>
  <si>
    <t xml:space="preserve">Section 508 implementation pass + screen-reader fixes</t>
  </si>
  <si>
    <t xml:space="preserve">Standard controls keep this bounded; budget covers labeling/focus/order fixes</t>
  </si>
  <si>
    <t xml:space="preserve">2.9</t>
  </si>
  <si>
    <t xml:space="preserve">QUnit/OPA5 test suite</t>
  </si>
  <si>
    <t xml:space="preserve">Subtotal — Cockpit</t>
  </si>
  <si>
    <t xml:space="preserve">3. Search &amp; List (Fiori Elements V4 List Report)</t>
  </si>
  <si>
    <t xml:space="preserve">3.1</t>
  </si>
  <si>
    <t xml:space="preserve">List Report app, annotations, filter fields + condition operators, variants, Excel export, navigations</t>
  </si>
  <si>
    <t xml:space="preserve">Near out-of-box; per-field operator sets via filter restrictions</t>
  </si>
  <si>
    <t xml:space="preserve">3.2</t>
  </si>
  <si>
    <t xml:space="preserve">Custom filter value helps (reuse of 2.6 fragments) + result-list layout per FSD</t>
  </si>
  <si>
    <t xml:space="preserve">Subtotal — Search &amp; List</t>
  </si>
  <si>
    <t xml:space="preserve">4. Machine API Channel (conditional — OI-4)</t>
  </si>
  <si>
    <t xml:space="preserve">4.1</t>
  </si>
  <si>
    <t xml:space="preserve">Web API service binding, communication scenario/arrangement, interface-user auth mapping</t>
  </si>
  <si>
    <t xml:space="preserve">Same behavior layer; binding + comm setup only</t>
  </si>
  <si>
    <t xml:space="preserve">4.2</t>
  </si>
  <si>
    <t xml:space="preserve">Async contract: acceptance + correlation ID, Status Service integration, message payloads</t>
  </si>
  <si>
    <t xml:space="preserve">Assumes Status Service API is a shared platform object; if E008-owned add 8–12 PD</t>
  </si>
  <si>
    <t xml:space="preserve">4.3</t>
  </si>
  <si>
    <t xml:space="preserve">API documentation + consumer test harness (EXiS integrators)</t>
  </si>
  <si>
    <t xml:space="preserve">Subtotal — API Channel</t>
  </si>
  <si>
    <t xml:space="preserve">5. Cross-Cutting &amp; Deployment</t>
  </si>
  <si>
    <t xml:space="preserve">5.1</t>
  </si>
  <si>
    <t xml:space="preserve">Fiori launchpad content: catalogs, groups/spaces, tiles, target mappings; PFCG roles (2 tiers)</t>
  </si>
  <si>
    <t xml:space="preserve">Provider tier explicitly excluded</t>
  </si>
  <si>
    <t xml:space="preserve">5.2</t>
  </si>
  <si>
    <t xml:space="preserve">ATC/CI setup (S/4 readiness variants), transports, landscape moves</t>
  </si>
  <si>
    <t xml:space="preserve">5.3</t>
  </si>
  <si>
    <t xml:space="preserve">Performance validation of search projection &amp; value helps (after OI-5 figures)</t>
  </si>
  <si>
    <t xml:space="preserve">Subtotal — Cross-Cutting</t>
  </si>
  <si>
    <t xml:space="preserve">6. Design, Documentation &amp; Validation</t>
  </si>
  <si>
    <t xml:space="preserve">6.1</t>
  </si>
  <si>
    <t xml:space="preserve">Technical specifications (backend, cockpit, API) from this solution spec</t>
  </si>
  <si>
    <t xml:space="preserve">The 'detailed technical specs' phase you named; estimate revision included</t>
  </si>
  <si>
    <t xml:space="preserve">6.2</t>
  </si>
  <si>
    <t xml:space="preserve">UX design + interactive prototype + 2 customer validation cycles (click-economy baseline, Test 25)</t>
  </si>
  <si>
    <t xml:space="preserve">Prototype-based validation is the insurance policy on the 'clunkiness' complaint</t>
  </si>
  <si>
    <t xml:space="preserve">6.3</t>
  </si>
  <si>
    <t xml:space="preserve">Status dictionary / auth concept workshops &amp; sign-off support (OI-1/2/3)</t>
  </si>
  <si>
    <t xml:space="preserve">Subtotal — Design &amp; Docs</t>
  </si>
  <si>
    <t xml:space="preserve">7. Testing &amp; Stabilization (beyond unit tests)</t>
  </si>
  <si>
    <t xml:space="preserve">7.1</t>
  </si>
  <si>
    <t xml:space="preserve">FUT execution (scenarios 1–25) + defect resolution</t>
  </si>
  <si>
    <t xml:space="preserve">7.2</t>
  </si>
  <si>
    <t xml:space="preserve">SIT support (E006/E007/EDI/API touchpoints) + defect resolution</t>
  </si>
  <si>
    <t xml:space="preserve">Un-cancel/ASN scenario is cross-object — SIT is where it proves out</t>
  </si>
  <si>
    <t xml:space="preserve">7.3</t>
  </si>
  <si>
    <t xml:space="preserve">UAT support + fixes + 508 verification</t>
  </si>
  <si>
    <t xml:space="preserve">Subtotal — Test &amp; Stabilization</t>
  </si>
  <si>
    <t xml:space="preserve">Summary</t>
  </si>
  <si>
    <t xml:space="preserve">Notes</t>
  </si>
  <si>
    <t xml:space="preserve">Backend</t>
  </si>
  <si>
    <t xml:space="preserve">Cockpit</t>
  </si>
  <si>
    <t xml:space="preserve">Search &amp; List</t>
  </si>
  <si>
    <t xml:space="preserve">API Channel</t>
  </si>
  <si>
    <t xml:space="preserve">Cross-Cutting</t>
  </si>
  <si>
    <t xml:space="preserve">Design &amp; Docs</t>
  </si>
  <si>
    <t xml:space="preserve">Test &amp; Stab.</t>
  </si>
  <si>
    <t xml:space="preserve">Core total (before levers)</t>
  </si>
  <si>
    <t xml:space="preserve">Global Levers (yellow = adjust)</t>
  </si>
  <si>
    <t xml:space="preserve">RAP/V4 ramp-up uplift (%)</t>
  </si>
  <si>
    <t xml:space="preserve">Set 0% if team is RAP-experienced; 10–15% if SEGW-native (applies to Backend+Cockpit+Search+API)</t>
  </si>
  <si>
    <t xml:space="preserve">PM / architecture oversight (%)</t>
  </si>
  <si>
    <t xml:space="preserve">Applied to core + ramp-up</t>
  </si>
  <si>
    <t xml:space="preserve">ROM contingency (%)</t>
  </si>
  <si>
    <t xml:space="preserve">Estimation-maturity reserve at ROM stage; retire at detailed-spec revision</t>
  </si>
  <si>
    <t xml:space="preserve">Include FR-04 Un-Cancel (1=yes, 0=no)</t>
  </si>
  <si>
    <t xml:space="preserve">Pending OI-2; set 0 to see estimate without it</t>
  </si>
  <si>
    <t xml:space="preserve">Include API channel (1=yes, 0=no)</t>
  </si>
  <si>
    <t xml:space="preserve">Pending OI-4 RICE ownership decision</t>
  </si>
  <si>
    <t xml:space="preserve">Adjusted Totals</t>
  </si>
  <si>
    <t xml:space="preserve">Core after scope toggles</t>
  </si>
  <si>
    <t xml:space="preserve">+ Ramp-up uplift</t>
  </si>
  <si>
    <t xml:space="preserve">+ PM / architecture</t>
  </si>
  <si>
    <t xml:space="preserve">+ Contingency</t>
  </si>
  <si>
    <t xml:space="preserve">TOTAL (person-days)</t>
  </si>
  <si>
    <t xml:space="preserve">≈ Person-months (18 PD/month)</t>
  </si>
  <si>
    <t xml:space="preserve">Indicative duration: with 1 architect (50%), 2 backend, 2 UI5 developers ≈ 5–7 elapsed months build+test at mid estimate, excluding design-phase lead time and OI resolution.</t>
  </si>
  <si>
    <t xml:space="preserve">Assumptions</t>
  </si>
  <si>
    <t xml:space="preserve">• Accuracy: ROM class, -25% / +75%. Estimates revise at detailed technical spec completion (item 6.1).</t>
  </si>
  <si>
    <t xml:space="preserve">• E006 exposes callable validation/cancellation rule interfaces with stable signatures; rule CONTENT effort sits in E006, not here.</t>
  </si>
  <si>
    <t xml:space="preserve">• E007 consignment/IoH pre-population logic is available as a reusable interface for the IoH block.</t>
  </si>
  <si>
    <t xml:space="preserve">• Sales order type, item categories, ratified user status profile, partner determination, and pricing config are delivered by the config workstream before backend build (FSD assumptions).</t>
  </si>
  <si>
    <t xml:space="preserve">• Status dictionary (OI-1) and authorization concept (OI-3) are signed before field-control and auth build start; delays shift 1.5/1.6.</t>
  </si>
  <si>
    <t xml:space="preserve">• Status Service API is a shared platform object; if E008-owned, add 8–12 PD to 4.2.</t>
  </si>
  <si>
    <t xml:space="preserve">• Business Partner master data (providers, contacts, awardees) migrated and consumable by value helps in the dev/test landscape.</t>
  </si>
  <si>
    <t xml:space="preserve">• One production locale (EN); message classes translation-ready but no translation effort included.</t>
  </si>
  <si>
    <t xml:space="preserve">• Team: 1 solution architect (part-time), 2 ABAP/RAP developers, 2 SAPUI5 developers, shared QA. Ramp-up lever covers RAP/V4 learning if applicable.</t>
  </si>
  <si>
    <t xml:space="preserve">• Person-day = 8 productive hours; person-month = 18 PD.</t>
  </si>
  <si>
    <t xml:space="preserve">Exclusions</t>
  </si>
  <si>
    <t xml:space="preserve">• E006/E007/E010/E011/E013/E014/E024 rule and object content; C001–C006 BP objects; E001 marketing attributes.</t>
  </si>
  <si>
    <t xml:space="preserve">• SD configuration, output/forms template development (E008 keeps the print trigger only — OI-6), EDI/fulfillment chain (Migrate scope).</t>
  </si>
  <si>
    <t xml:space="preserve">• Data migration, cutover, and legacy CRM decommissioning.</t>
  </si>
  <si>
    <t xml:space="preserve">• End-user training content and delivery (BPD revision for training references is OI-7, effort with process team).</t>
  </si>
  <si>
    <t xml:space="preserve">• Hypercare beyond 2 weeks post go-live; production support model.</t>
  </si>
  <si>
    <t xml:space="preserve">• Infrastructure, Basis, transport landscape provisioning; SSO/IdP integration for external Awardee access (flag: if external identity federation is new, it is a separate workstream with material effort).</t>
  </si>
  <si>
    <t xml:space="preserve">• Batch re-validation job (SO-010-010-140) — assumed E006-owned; if assigned to E008, add 5–8 PD.</t>
  </si>
  <si>
    <t xml:space="preserve">Top Risk Drivers on the Estimate</t>
  </si>
  <si>
    <t xml:space="preserve">• OI-2 Un-Cancel scope (toggle provided): cross-object with E006/EDI; late confirmation converts to change order.</t>
  </si>
  <si>
    <t xml:space="preserve">• Unmanaged buffer over the standard SD API (1.2): widest single range; detailed spec will narrow it after API pattern spike — recommend a 3–5 PD technical spike early.</t>
  </si>
  <si>
    <t xml:space="preserve">• Cascading value helps (2.6): FSD specifies 5-level Contact help; scope-manage sub-dialogs if timeline pressure emerges.</t>
  </si>
  <si>
    <t xml:space="preserve">• External identity/SSO for Awardees: excluded here but on the critical path for any external-facing go-live.</t>
  </si>
  <si>
    <t xml:space="preserve">• Team RAP/V4 maturity: the ramp lever is real money — staff at least one RAP-experienced lead to compress it.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</si>
</sst>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0"/>
    <numFmt numFmtId="168" formatCode="#,##0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5" min="3" style="0" width="10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customFormat="false" ht="23.85" hidden="false" customHeight="false" outlineLevel="0" collapsed="false">
      <c r="A7" s="5" t="s">
        <v>10</v>
      </c>
      <c r="B7" s="6" t="s">
        <v>11</v>
      </c>
      <c r="C7" s="7" t="n">
        <v>10</v>
      </c>
      <c r="D7" s="7" t="n">
        <v>16</v>
      </c>
      <c r="E7" s="5" t="n">
        <f aca="false">(C7+D7)/2</f>
        <v>13</v>
      </c>
      <c r="F7" s="6" t="s">
        <v>12</v>
      </c>
    </row>
    <row r="8" customFormat="false" ht="35.05" hidden="false" customHeight="false" outlineLevel="0" collapsed="false">
      <c r="A8" s="5" t="s">
        <v>13</v>
      </c>
      <c r="B8" s="6" t="s">
        <v>14</v>
      </c>
      <c r="C8" s="7" t="n">
        <v>16</v>
      </c>
      <c r="D8" s="7" t="n">
        <v>26</v>
      </c>
      <c r="E8" s="5" t="n">
        <f aca="false">(C8+D8)/2</f>
        <v>21</v>
      </c>
      <c r="F8" s="6" t="s">
        <v>15</v>
      </c>
    </row>
    <row r="9" customFormat="false" ht="23.85" hidden="false" customHeight="false" outlineLevel="0" collapsed="false">
      <c r="A9" s="5" t="s">
        <v>16</v>
      </c>
      <c r="B9" s="6" t="s">
        <v>17</v>
      </c>
      <c r="C9" s="7" t="n">
        <v>8</v>
      </c>
      <c r="D9" s="7" t="n">
        <v>13</v>
      </c>
      <c r="E9" s="5" t="n">
        <f aca="false">(C9+D9)/2</f>
        <v>10.5</v>
      </c>
      <c r="F9" s="6" t="s">
        <v>18</v>
      </c>
    </row>
    <row r="10" customFormat="false" ht="23.85" hidden="false" customHeight="false" outlineLevel="0" collapsed="false">
      <c r="A10" s="5" t="s">
        <v>19</v>
      </c>
      <c r="B10" s="6" t="s">
        <v>20</v>
      </c>
      <c r="C10" s="7" t="n">
        <v>3</v>
      </c>
      <c r="D10" s="7" t="n">
        <v>5</v>
      </c>
      <c r="E10" s="5" t="n">
        <f aca="false">(C10+D10)/2</f>
        <v>4</v>
      </c>
      <c r="F10" s="6"/>
    </row>
    <row r="11" customFormat="false" ht="23.85" hidden="false" customHeight="false" outlineLevel="0" collapsed="false">
      <c r="A11" s="5" t="s">
        <v>21</v>
      </c>
      <c r="B11" s="6" t="s">
        <v>22</v>
      </c>
      <c r="C11" s="7" t="n">
        <v>8</v>
      </c>
      <c r="D11" s="7" t="n">
        <v>13</v>
      </c>
      <c r="E11" s="5" t="n">
        <f aca="false">(C11+D11)/2</f>
        <v>10.5</v>
      </c>
      <c r="F11" s="6" t="s">
        <v>23</v>
      </c>
    </row>
    <row r="12" customFormat="false" ht="23.85" hidden="false" customHeight="false" outlineLevel="0" collapsed="false">
      <c r="A12" s="5" t="s">
        <v>24</v>
      </c>
      <c r="B12" s="6" t="s">
        <v>25</v>
      </c>
      <c r="C12" s="7" t="n">
        <v>7</v>
      </c>
      <c r="D12" s="7" t="n">
        <v>11</v>
      </c>
      <c r="E12" s="5" t="n">
        <f aca="false">(C12+D12)/2</f>
        <v>9</v>
      </c>
      <c r="F12" s="6" t="s">
        <v>26</v>
      </c>
    </row>
    <row r="13" customFormat="false" ht="23.85" hidden="false" customHeight="false" outlineLevel="0" collapsed="false">
      <c r="A13" s="5" t="s">
        <v>27</v>
      </c>
      <c r="B13" s="6" t="s">
        <v>28</v>
      </c>
      <c r="C13" s="7" t="n">
        <v>8</v>
      </c>
      <c r="D13" s="7" t="n">
        <v>13</v>
      </c>
      <c r="E13" s="5" t="n">
        <f aca="false">(C13+D13)/2</f>
        <v>10.5</v>
      </c>
      <c r="F13" s="6" t="s">
        <v>29</v>
      </c>
    </row>
    <row r="14" customFormat="false" ht="23.85" hidden="false" customHeight="false" outlineLevel="0" collapsed="false">
      <c r="A14" s="5" t="s">
        <v>30</v>
      </c>
      <c r="B14" s="6" t="s">
        <v>31</v>
      </c>
      <c r="C14" s="7" t="n">
        <v>10</v>
      </c>
      <c r="D14" s="7" t="n">
        <v>16</v>
      </c>
      <c r="E14" s="5" t="n">
        <f aca="false">(C14+D14)/2</f>
        <v>13</v>
      </c>
      <c r="F14" s="6" t="s">
        <v>32</v>
      </c>
    </row>
    <row r="15" customFormat="false" ht="23.85" hidden="false" customHeight="false" outlineLevel="0" collapsed="false">
      <c r="A15" s="5" t="s">
        <v>33</v>
      </c>
      <c r="B15" s="6" t="s">
        <v>34</v>
      </c>
      <c r="C15" s="7" t="n">
        <v>6</v>
      </c>
      <c r="D15" s="7" t="n">
        <v>12</v>
      </c>
      <c r="E15" s="5" t="n">
        <f aca="false">(C15+D15)/2</f>
        <v>9</v>
      </c>
      <c r="F15" s="6" t="s">
        <v>35</v>
      </c>
    </row>
    <row r="16" customFormat="false" ht="23.85" hidden="false" customHeight="false" outlineLevel="0" collapsed="false">
      <c r="A16" s="5" t="s">
        <v>36</v>
      </c>
      <c r="B16" s="6" t="s">
        <v>37</v>
      </c>
      <c r="C16" s="7" t="n">
        <v>10</v>
      </c>
      <c r="D16" s="7" t="n">
        <v>16</v>
      </c>
      <c r="E16" s="5" t="n">
        <f aca="false">(C16+D16)/2</f>
        <v>13</v>
      </c>
      <c r="F16" s="6" t="s">
        <v>38</v>
      </c>
    </row>
    <row r="17" customFormat="false" ht="15" hidden="false" customHeight="false" outlineLevel="0" collapsed="false">
      <c r="A17" s="5" t="s">
        <v>39</v>
      </c>
      <c r="B17" s="6" t="s">
        <v>40</v>
      </c>
      <c r="C17" s="7" t="n">
        <v>10</v>
      </c>
      <c r="D17" s="7" t="n">
        <v>15</v>
      </c>
      <c r="E17" s="5" t="n">
        <f aca="false">(C17+D17)/2</f>
        <v>12.5</v>
      </c>
      <c r="F17" s="6" t="s">
        <v>41</v>
      </c>
    </row>
    <row r="18" customFormat="false" ht="15" hidden="false" customHeight="false" outlineLevel="0" collapsed="false">
      <c r="A18" s="8"/>
      <c r="B18" s="9" t="s">
        <v>42</v>
      </c>
      <c r="C18" s="9" t="n">
        <f aca="false">SUM(C7:C17)</f>
        <v>96</v>
      </c>
      <c r="D18" s="9" t="n">
        <f aca="false">SUM(D7:D17)</f>
        <v>156</v>
      </c>
      <c r="E18" s="9" t="n">
        <f aca="false">SUM(E7:E17)</f>
        <v>126</v>
      </c>
      <c r="F18" s="8"/>
    </row>
    <row r="20" customFormat="false" ht="15" hidden="false" customHeight="false" outlineLevel="0" collapsed="false">
      <c r="A20" s="3" t="s">
        <v>43</v>
      </c>
    </row>
    <row r="21" customFormat="false" ht="15" hidden="false" customHeight="false" outlineLevel="0" collapsed="false">
      <c r="A21" s="4" t="s">
        <v>4</v>
      </c>
      <c r="B21" s="4" t="s">
        <v>5</v>
      </c>
      <c r="C21" s="4" t="s">
        <v>6</v>
      </c>
      <c r="D21" s="4" t="s">
        <v>7</v>
      </c>
      <c r="E21" s="4" t="s">
        <v>8</v>
      </c>
      <c r="F21" s="4" t="s">
        <v>9</v>
      </c>
    </row>
    <row r="22" customFormat="false" ht="23.85" hidden="false" customHeight="false" outlineLevel="0" collapsed="false">
      <c r="A22" s="5" t="s">
        <v>44</v>
      </c>
      <c r="B22" s="6" t="s">
        <v>45</v>
      </c>
      <c r="C22" s="7" t="n">
        <v>5</v>
      </c>
      <c r="D22" s="7" t="n">
        <v>8</v>
      </c>
      <c r="E22" s="5" t="n">
        <f aca="false">(C22+D22)/2</f>
        <v>6.5</v>
      </c>
      <c r="F22" s="6"/>
    </row>
    <row r="23" customFormat="false" ht="23.85" hidden="false" customHeight="false" outlineLevel="0" collapsed="false">
      <c r="A23" s="5" t="s">
        <v>46</v>
      </c>
      <c r="B23" s="6" t="s">
        <v>47</v>
      </c>
      <c r="C23" s="7" t="n">
        <v>10</v>
      </c>
      <c r="D23" s="7" t="n">
        <v>15</v>
      </c>
      <c r="E23" s="5" t="n">
        <f aca="false">(C23+D23)/2</f>
        <v>12.5</v>
      </c>
      <c r="F23" s="6" t="s">
        <v>48</v>
      </c>
    </row>
    <row r="24" customFormat="false" ht="23.85" hidden="false" customHeight="false" outlineLevel="0" collapsed="false">
      <c r="A24" s="5" t="s">
        <v>49</v>
      </c>
      <c r="B24" s="6" t="s">
        <v>50</v>
      </c>
      <c r="C24" s="7" t="n">
        <v>12</v>
      </c>
      <c r="D24" s="7" t="n">
        <v>18</v>
      </c>
      <c r="E24" s="5" t="n">
        <f aca="false">(C24+D24)/2</f>
        <v>15</v>
      </c>
      <c r="F24" s="6" t="s">
        <v>51</v>
      </c>
    </row>
    <row r="25" customFormat="false" ht="23.85" hidden="false" customHeight="false" outlineLevel="0" collapsed="false">
      <c r="A25" s="5" t="s">
        <v>52</v>
      </c>
      <c r="B25" s="6" t="s">
        <v>53</v>
      </c>
      <c r="C25" s="7" t="n">
        <v>8</v>
      </c>
      <c r="D25" s="7" t="n">
        <v>12</v>
      </c>
      <c r="E25" s="5" t="n">
        <f aca="false">(C25+D25)/2</f>
        <v>10</v>
      </c>
      <c r="F25" s="6" t="s">
        <v>54</v>
      </c>
    </row>
    <row r="26" customFormat="false" ht="23.85" hidden="false" customHeight="false" outlineLevel="0" collapsed="false">
      <c r="A26" s="5" t="s">
        <v>55</v>
      </c>
      <c r="B26" s="6" t="s">
        <v>56</v>
      </c>
      <c r="C26" s="7" t="n">
        <v>6</v>
      </c>
      <c r="D26" s="7" t="n">
        <v>10</v>
      </c>
      <c r="E26" s="5" t="n">
        <f aca="false">(C26+D26)/2</f>
        <v>8</v>
      </c>
      <c r="F26" s="6" t="s">
        <v>57</v>
      </c>
    </row>
    <row r="27" customFormat="false" ht="23.85" hidden="false" customHeight="false" outlineLevel="0" collapsed="false">
      <c r="A27" s="5" t="s">
        <v>58</v>
      </c>
      <c r="B27" s="6" t="s">
        <v>59</v>
      </c>
      <c r="C27" s="7" t="n">
        <v>13</v>
      </c>
      <c r="D27" s="7" t="n">
        <v>20</v>
      </c>
      <c r="E27" s="5" t="n">
        <f aca="false">(C27+D27)/2</f>
        <v>16.5</v>
      </c>
      <c r="F27" s="6" t="s">
        <v>60</v>
      </c>
    </row>
    <row r="28" customFormat="false" ht="46.25" hidden="false" customHeight="false" outlineLevel="0" collapsed="false">
      <c r="A28" s="5" t="s">
        <v>61</v>
      </c>
      <c r="B28" s="6" t="s">
        <v>62</v>
      </c>
      <c r="C28" s="7" t="n">
        <v>9</v>
      </c>
      <c r="D28" s="7" t="n">
        <v>14</v>
      </c>
      <c r="E28" s="5" t="n">
        <f aca="false">(C28+D28)/2</f>
        <v>11.5</v>
      </c>
      <c r="F28" s="6"/>
    </row>
    <row r="29" customFormat="false" ht="23.85" hidden="false" customHeight="false" outlineLevel="0" collapsed="false">
      <c r="A29" s="5" t="s">
        <v>63</v>
      </c>
      <c r="B29" s="6" t="s">
        <v>64</v>
      </c>
      <c r="C29" s="7" t="n">
        <v>5</v>
      </c>
      <c r="D29" s="7" t="n">
        <v>8</v>
      </c>
      <c r="E29" s="5" t="n">
        <f aca="false">(C29+D29)/2</f>
        <v>6.5</v>
      </c>
      <c r="F29" s="6" t="s">
        <v>65</v>
      </c>
    </row>
    <row r="30" customFormat="false" ht="15" hidden="false" customHeight="false" outlineLevel="0" collapsed="false">
      <c r="A30" s="5" t="s">
        <v>66</v>
      </c>
      <c r="B30" s="6" t="s">
        <v>67</v>
      </c>
      <c r="C30" s="7" t="n">
        <v>8</v>
      </c>
      <c r="D30" s="7" t="n">
        <v>12</v>
      </c>
      <c r="E30" s="5" t="n">
        <f aca="false">(C30+D30)/2</f>
        <v>10</v>
      </c>
      <c r="F30" s="6"/>
    </row>
    <row r="31" customFormat="false" ht="15" hidden="false" customHeight="false" outlineLevel="0" collapsed="false">
      <c r="A31" s="8"/>
      <c r="B31" s="9" t="s">
        <v>68</v>
      </c>
      <c r="C31" s="9" t="n">
        <f aca="false">SUM(C22:C30)</f>
        <v>76</v>
      </c>
      <c r="D31" s="9" t="n">
        <f aca="false">SUM(D22:D30)</f>
        <v>117</v>
      </c>
      <c r="E31" s="9" t="n">
        <f aca="false">SUM(E22:E30)</f>
        <v>96.5</v>
      </c>
      <c r="F31" s="8"/>
    </row>
    <row r="33" customFormat="false" ht="15" hidden="false" customHeight="false" outlineLevel="0" collapsed="false">
      <c r="A33" s="3" t="s">
        <v>69</v>
      </c>
    </row>
    <row r="34" customFormat="false" ht="15" hidden="false" customHeight="false" outlineLevel="0" collapsed="false">
      <c r="A34" s="4" t="s">
        <v>4</v>
      </c>
      <c r="B34" s="4" t="s">
        <v>5</v>
      </c>
      <c r="C34" s="4" t="s">
        <v>6</v>
      </c>
      <c r="D34" s="4" t="s">
        <v>7</v>
      </c>
      <c r="E34" s="4" t="s">
        <v>8</v>
      </c>
      <c r="F34" s="4" t="s">
        <v>9</v>
      </c>
    </row>
    <row r="35" customFormat="false" ht="23.85" hidden="false" customHeight="false" outlineLevel="0" collapsed="false">
      <c r="A35" s="5" t="s">
        <v>70</v>
      </c>
      <c r="B35" s="6" t="s">
        <v>71</v>
      </c>
      <c r="C35" s="7" t="n">
        <v>6</v>
      </c>
      <c r="D35" s="7" t="n">
        <v>9</v>
      </c>
      <c r="E35" s="5" t="n">
        <f aca="false">(C35+D35)/2</f>
        <v>7.5</v>
      </c>
      <c r="F35" s="6" t="s">
        <v>72</v>
      </c>
    </row>
    <row r="36" customFormat="false" ht="23.85" hidden="false" customHeight="false" outlineLevel="0" collapsed="false">
      <c r="A36" s="5" t="s">
        <v>73</v>
      </c>
      <c r="B36" s="6" t="s">
        <v>74</v>
      </c>
      <c r="C36" s="7" t="n">
        <v>3</v>
      </c>
      <c r="D36" s="7" t="n">
        <v>5</v>
      </c>
      <c r="E36" s="5" t="n">
        <f aca="false">(C36+D36)/2</f>
        <v>4</v>
      </c>
      <c r="F36" s="6"/>
    </row>
    <row r="37" customFormat="false" ht="15" hidden="false" customHeight="false" outlineLevel="0" collapsed="false">
      <c r="A37" s="8"/>
      <c r="B37" s="9" t="s">
        <v>75</v>
      </c>
      <c r="C37" s="9" t="n">
        <f aca="false">SUM(C35:C36)</f>
        <v>9</v>
      </c>
      <c r="D37" s="9" t="n">
        <f aca="false">SUM(D35:D36)</f>
        <v>14</v>
      </c>
      <c r="E37" s="9" t="n">
        <f aca="false">SUM(E35:E36)</f>
        <v>11.5</v>
      </c>
      <c r="F37" s="8"/>
    </row>
    <row r="39" customFormat="false" ht="15" hidden="false" customHeight="false" outlineLevel="0" collapsed="false">
      <c r="A39" s="3" t="s">
        <v>76</v>
      </c>
    </row>
    <row r="40" customFormat="false" ht="15" hidden="false" customHeight="false" outlineLevel="0" collapsed="false">
      <c r="A40" s="4" t="s">
        <v>4</v>
      </c>
      <c r="B40" s="4" t="s">
        <v>5</v>
      </c>
      <c r="C40" s="4" t="s">
        <v>6</v>
      </c>
      <c r="D40" s="4" t="s">
        <v>7</v>
      </c>
      <c r="E40" s="4" t="s">
        <v>8</v>
      </c>
      <c r="F40" s="4" t="s">
        <v>9</v>
      </c>
    </row>
    <row r="41" customFormat="false" ht="23.85" hidden="false" customHeight="false" outlineLevel="0" collapsed="false">
      <c r="A41" s="5" t="s">
        <v>77</v>
      </c>
      <c r="B41" s="6" t="s">
        <v>78</v>
      </c>
      <c r="C41" s="7" t="n">
        <v>5</v>
      </c>
      <c r="D41" s="7" t="n">
        <v>8</v>
      </c>
      <c r="E41" s="5" t="n">
        <f aca="false">(C41+D41)/2</f>
        <v>6.5</v>
      </c>
      <c r="F41" s="6" t="s">
        <v>79</v>
      </c>
    </row>
    <row r="42" customFormat="false" ht="23.85" hidden="false" customHeight="false" outlineLevel="0" collapsed="false">
      <c r="A42" s="5" t="s">
        <v>80</v>
      </c>
      <c r="B42" s="6" t="s">
        <v>81</v>
      </c>
      <c r="C42" s="7" t="n">
        <v>6</v>
      </c>
      <c r="D42" s="7" t="n">
        <v>10</v>
      </c>
      <c r="E42" s="5" t="n">
        <f aca="false">(C42+D42)/2</f>
        <v>8</v>
      </c>
      <c r="F42" s="6" t="s">
        <v>82</v>
      </c>
    </row>
    <row r="43" customFormat="false" ht="23.85" hidden="false" customHeight="false" outlineLevel="0" collapsed="false">
      <c r="A43" s="5" t="s">
        <v>83</v>
      </c>
      <c r="B43" s="6" t="s">
        <v>84</v>
      </c>
      <c r="C43" s="7" t="n">
        <v>3</v>
      </c>
      <c r="D43" s="7" t="n">
        <v>5</v>
      </c>
      <c r="E43" s="5" t="n">
        <f aca="false">(C43+D43)/2</f>
        <v>4</v>
      </c>
      <c r="F43" s="6"/>
    </row>
    <row r="44" customFormat="false" ht="15" hidden="false" customHeight="false" outlineLevel="0" collapsed="false">
      <c r="A44" s="8"/>
      <c r="B44" s="9" t="s">
        <v>85</v>
      </c>
      <c r="C44" s="9" t="n">
        <f aca="false">SUM(C41:C43)</f>
        <v>14</v>
      </c>
      <c r="D44" s="9" t="n">
        <f aca="false">SUM(D41:D43)</f>
        <v>23</v>
      </c>
      <c r="E44" s="9" t="n">
        <f aca="false">SUM(E41:E43)</f>
        <v>18.5</v>
      </c>
      <c r="F44" s="8"/>
    </row>
    <row r="46" customFormat="false" ht="15" hidden="false" customHeight="false" outlineLevel="0" collapsed="false">
      <c r="A46" s="3" t="s">
        <v>86</v>
      </c>
    </row>
    <row r="47" customFormat="false" ht="15" hidden="false" customHeight="false" outlineLevel="0" collapsed="false">
      <c r="A47" s="4" t="s">
        <v>4</v>
      </c>
      <c r="B47" s="4" t="s">
        <v>5</v>
      </c>
      <c r="C47" s="4" t="s">
        <v>6</v>
      </c>
      <c r="D47" s="4" t="s">
        <v>7</v>
      </c>
      <c r="E47" s="4" t="s">
        <v>8</v>
      </c>
      <c r="F47" s="4" t="s">
        <v>9</v>
      </c>
    </row>
    <row r="48" customFormat="false" ht="23.85" hidden="false" customHeight="false" outlineLevel="0" collapsed="false">
      <c r="A48" s="5" t="s">
        <v>87</v>
      </c>
      <c r="B48" s="6" t="s">
        <v>88</v>
      </c>
      <c r="C48" s="7" t="n">
        <v>4</v>
      </c>
      <c r="D48" s="7" t="n">
        <v>6</v>
      </c>
      <c r="E48" s="5" t="n">
        <f aca="false">(C48+D48)/2</f>
        <v>5</v>
      </c>
      <c r="F48" s="6" t="s">
        <v>89</v>
      </c>
    </row>
    <row r="49" customFormat="false" ht="23.85" hidden="false" customHeight="false" outlineLevel="0" collapsed="false">
      <c r="A49" s="5" t="s">
        <v>90</v>
      </c>
      <c r="B49" s="6" t="s">
        <v>91</v>
      </c>
      <c r="C49" s="7" t="n">
        <v>3</v>
      </c>
      <c r="D49" s="7" t="n">
        <v>5</v>
      </c>
      <c r="E49" s="5" t="n">
        <f aca="false">(C49+D49)/2</f>
        <v>4</v>
      </c>
      <c r="F49" s="6"/>
    </row>
    <row r="50" customFormat="false" ht="23.85" hidden="false" customHeight="false" outlineLevel="0" collapsed="false">
      <c r="A50" s="5" t="s">
        <v>92</v>
      </c>
      <c r="B50" s="6" t="s">
        <v>93</v>
      </c>
      <c r="C50" s="7" t="n">
        <v>3</v>
      </c>
      <c r="D50" s="7" t="n">
        <v>6</v>
      </c>
      <c r="E50" s="5" t="n">
        <f aca="false">(C50+D50)/2</f>
        <v>4.5</v>
      </c>
      <c r="F50" s="6"/>
    </row>
    <row r="51" customFormat="false" ht="15" hidden="false" customHeight="false" outlineLevel="0" collapsed="false">
      <c r="A51" s="8"/>
      <c r="B51" s="9" t="s">
        <v>94</v>
      </c>
      <c r="C51" s="9" t="n">
        <f aca="false">SUM(C48:C50)</f>
        <v>10</v>
      </c>
      <c r="D51" s="9" t="n">
        <f aca="false">SUM(D48:D50)</f>
        <v>17</v>
      </c>
      <c r="E51" s="9" t="n">
        <f aca="false">SUM(E48:E50)</f>
        <v>13.5</v>
      </c>
      <c r="F51" s="8"/>
    </row>
    <row r="53" customFormat="false" ht="15" hidden="false" customHeight="false" outlineLevel="0" collapsed="false">
      <c r="A53" s="3" t="s">
        <v>95</v>
      </c>
    </row>
    <row r="54" customFormat="false" ht="15" hidden="false" customHeight="false" outlineLevel="0" collapsed="false">
      <c r="A54" s="4" t="s">
        <v>4</v>
      </c>
      <c r="B54" s="4" t="s">
        <v>5</v>
      </c>
      <c r="C54" s="4" t="s">
        <v>6</v>
      </c>
      <c r="D54" s="4" t="s">
        <v>7</v>
      </c>
      <c r="E54" s="4" t="s">
        <v>8</v>
      </c>
      <c r="F54" s="4" t="s">
        <v>9</v>
      </c>
    </row>
    <row r="55" customFormat="false" ht="23.85" hidden="false" customHeight="false" outlineLevel="0" collapsed="false">
      <c r="A55" s="5" t="s">
        <v>96</v>
      </c>
      <c r="B55" s="6" t="s">
        <v>97</v>
      </c>
      <c r="C55" s="7" t="n">
        <v>9</v>
      </c>
      <c r="D55" s="7" t="n">
        <v>13</v>
      </c>
      <c r="E55" s="5" t="n">
        <f aca="false">(C55+D55)/2</f>
        <v>11</v>
      </c>
      <c r="F55" s="6" t="s">
        <v>98</v>
      </c>
    </row>
    <row r="56" customFormat="false" ht="23.85" hidden="false" customHeight="false" outlineLevel="0" collapsed="false">
      <c r="A56" s="5" t="s">
        <v>99</v>
      </c>
      <c r="B56" s="6" t="s">
        <v>100</v>
      </c>
      <c r="C56" s="7" t="n">
        <v>8</v>
      </c>
      <c r="D56" s="7" t="n">
        <v>13</v>
      </c>
      <c r="E56" s="5" t="n">
        <f aca="false">(C56+D56)/2</f>
        <v>10.5</v>
      </c>
      <c r="F56" s="6" t="s">
        <v>101</v>
      </c>
    </row>
    <row r="57" customFormat="false" ht="23.85" hidden="false" customHeight="false" outlineLevel="0" collapsed="false">
      <c r="A57" s="5" t="s">
        <v>102</v>
      </c>
      <c r="B57" s="6" t="s">
        <v>103</v>
      </c>
      <c r="C57" s="7" t="n">
        <v>4</v>
      </c>
      <c r="D57" s="7" t="n">
        <v>7</v>
      </c>
      <c r="E57" s="5" t="n">
        <f aca="false">(C57+D57)/2</f>
        <v>5.5</v>
      </c>
      <c r="F57" s="6"/>
    </row>
    <row r="58" customFormat="false" ht="15" hidden="false" customHeight="false" outlineLevel="0" collapsed="false">
      <c r="A58" s="8"/>
      <c r="B58" s="9" t="s">
        <v>104</v>
      </c>
      <c r="C58" s="9" t="n">
        <f aca="false">SUM(C55:C57)</f>
        <v>21</v>
      </c>
      <c r="D58" s="9" t="n">
        <f aca="false">SUM(D55:D57)</f>
        <v>33</v>
      </c>
      <c r="E58" s="9" t="n">
        <f aca="false">SUM(E55:E57)</f>
        <v>27</v>
      </c>
      <c r="F58" s="8"/>
    </row>
    <row r="60" customFormat="false" ht="15" hidden="false" customHeight="false" outlineLevel="0" collapsed="false">
      <c r="A60" s="3" t="s">
        <v>105</v>
      </c>
    </row>
    <row r="61" customFormat="false" ht="15" hidden="false" customHeight="false" outlineLevel="0" collapsed="false">
      <c r="A61" s="4" t="s">
        <v>4</v>
      </c>
      <c r="B61" s="4" t="s">
        <v>5</v>
      </c>
      <c r="C61" s="4" t="s">
        <v>6</v>
      </c>
      <c r="D61" s="4" t="s">
        <v>7</v>
      </c>
      <c r="E61" s="4" t="s">
        <v>8</v>
      </c>
      <c r="F61" s="4" t="s">
        <v>9</v>
      </c>
    </row>
    <row r="62" customFormat="false" ht="15" hidden="false" customHeight="false" outlineLevel="0" collapsed="false">
      <c r="A62" s="5" t="s">
        <v>106</v>
      </c>
      <c r="B62" s="6" t="s">
        <v>107</v>
      </c>
      <c r="C62" s="7" t="n">
        <v>12</v>
      </c>
      <c r="D62" s="7" t="n">
        <v>20</v>
      </c>
      <c r="E62" s="5" t="n">
        <f aca="false">(C62+D62)/2</f>
        <v>16</v>
      </c>
      <c r="F62" s="6"/>
    </row>
    <row r="63" customFormat="false" ht="23.85" hidden="false" customHeight="false" outlineLevel="0" collapsed="false">
      <c r="A63" s="5" t="s">
        <v>108</v>
      </c>
      <c r="B63" s="6" t="s">
        <v>109</v>
      </c>
      <c r="C63" s="7" t="n">
        <v>8</v>
      </c>
      <c r="D63" s="7" t="n">
        <v>14</v>
      </c>
      <c r="E63" s="5" t="n">
        <f aca="false">(C63+D63)/2</f>
        <v>11</v>
      </c>
      <c r="F63" s="6" t="s">
        <v>110</v>
      </c>
    </row>
    <row r="64" customFormat="false" ht="15" hidden="false" customHeight="false" outlineLevel="0" collapsed="false">
      <c r="A64" s="5" t="s">
        <v>111</v>
      </c>
      <c r="B64" s="6" t="s">
        <v>112</v>
      </c>
      <c r="C64" s="7" t="n">
        <v>6</v>
      </c>
      <c r="D64" s="7" t="n">
        <v>10</v>
      </c>
      <c r="E64" s="5" t="n">
        <f aca="false">(C64+D64)/2</f>
        <v>8</v>
      </c>
      <c r="F64" s="6"/>
    </row>
    <row r="65" customFormat="false" ht="15" hidden="false" customHeight="false" outlineLevel="0" collapsed="false">
      <c r="A65" s="8"/>
      <c r="B65" s="9" t="s">
        <v>113</v>
      </c>
      <c r="C65" s="9" t="n">
        <f aca="false">SUM(C62:C64)</f>
        <v>26</v>
      </c>
      <c r="D65" s="9" t="n">
        <f aca="false">SUM(D62:D64)</f>
        <v>44</v>
      </c>
      <c r="E65" s="9" t="n">
        <f aca="false">SUM(E62:E64)</f>
        <v>35</v>
      </c>
      <c r="F65" s="8"/>
    </row>
    <row r="68" customFormat="false" ht="17.35" hidden="false" customHeight="false" outlineLevel="0" collapsed="false">
      <c r="A68" s="1" t="s">
        <v>114</v>
      </c>
    </row>
    <row r="69" customFormat="false" ht="15" hidden="false" customHeight="false" outlineLevel="0" collapsed="false">
      <c r="A69" s="4" t="s">
        <v>4</v>
      </c>
      <c r="B69" s="4" t="s">
        <v>5</v>
      </c>
      <c r="C69" s="4" t="s">
        <v>6</v>
      </c>
      <c r="D69" s="4" t="s">
        <v>7</v>
      </c>
      <c r="E69" s="4" t="s">
        <v>8</v>
      </c>
      <c r="F69" s="4" t="s">
        <v>115</v>
      </c>
    </row>
    <row r="70" customFormat="false" ht="15" hidden="false" customHeight="false" outlineLevel="0" collapsed="false">
      <c r="A70" s="8"/>
      <c r="B70" s="5" t="s">
        <v>116</v>
      </c>
      <c r="C70" s="10" t="n">
        <f aca="false">C18</f>
        <v>96</v>
      </c>
      <c r="D70" s="10" t="n">
        <f aca="false">D18</f>
        <v>156</v>
      </c>
      <c r="E70" s="10" t="n">
        <f aca="false">E18</f>
        <v>126</v>
      </c>
      <c r="F70" s="8"/>
    </row>
    <row r="71" customFormat="false" ht="15" hidden="false" customHeight="false" outlineLevel="0" collapsed="false">
      <c r="A71" s="8"/>
      <c r="B71" s="5" t="s">
        <v>117</v>
      </c>
      <c r="C71" s="10" t="n">
        <f aca="false">C31</f>
        <v>76</v>
      </c>
      <c r="D71" s="10" t="n">
        <f aca="false">D31</f>
        <v>117</v>
      </c>
      <c r="E71" s="10" t="n">
        <f aca="false">E31</f>
        <v>96.5</v>
      </c>
      <c r="F71" s="8"/>
    </row>
    <row r="72" customFormat="false" ht="15" hidden="false" customHeight="false" outlineLevel="0" collapsed="false">
      <c r="A72" s="8"/>
      <c r="B72" s="5" t="s">
        <v>118</v>
      </c>
      <c r="C72" s="10" t="n">
        <f aca="false">C37</f>
        <v>9</v>
      </c>
      <c r="D72" s="10" t="n">
        <f aca="false">D37</f>
        <v>14</v>
      </c>
      <c r="E72" s="10" t="n">
        <f aca="false">E37</f>
        <v>11.5</v>
      </c>
      <c r="F72" s="8"/>
    </row>
    <row r="73" customFormat="false" ht="15" hidden="false" customHeight="false" outlineLevel="0" collapsed="false">
      <c r="A73" s="8"/>
      <c r="B73" s="5" t="s">
        <v>119</v>
      </c>
      <c r="C73" s="10" t="n">
        <f aca="false">C44</f>
        <v>14</v>
      </c>
      <c r="D73" s="10" t="n">
        <f aca="false">D44</f>
        <v>23</v>
      </c>
      <c r="E73" s="10" t="n">
        <f aca="false">E44</f>
        <v>18.5</v>
      </c>
      <c r="F73" s="8"/>
    </row>
    <row r="74" customFormat="false" ht="15" hidden="false" customHeight="false" outlineLevel="0" collapsed="false">
      <c r="A74" s="8"/>
      <c r="B74" s="5" t="s">
        <v>120</v>
      </c>
      <c r="C74" s="10" t="n">
        <f aca="false">C51</f>
        <v>10</v>
      </c>
      <c r="D74" s="10" t="n">
        <f aca="false">D51</f>
        <v>17</v>
      </c>
      <c r="E74" s="10" t="n">
        <f aca="false">E51</f>
        <v>13.5</v>
      </c>
      <c r="F74" s="8"/>
    </row>
    <row r="75" customFormat="false" ht="15" hidden="false" customHeight="false" outlineLevel="0" collapsed="false">
      <c r="A75" s="8"/>
      <c r="B75" s="5" t="s">
        <v>121</v>
      </c>
      <c r="C75" s="10" t="n">
        <f aca="false">C58</f>
        <v>21</v>
      </c>
      <c r="D75" s="10" t="n">
        <f aca="false">D58</f>
        <v>33</v>
      </c>
      <c r="E75" s="10" t="n">
        <f aca="false">E58</f>
        <v>27</v>
      </c>
      <c r="F75" s="8"/>
    </row>
    <row r="76" customFormat="false" ht="15" hidden="false" customHeight="false" outlineLevel="0" collapsed="false">
      <c r="A76" s="8"/>
      <c r="B76" s="5" t="s">
        <v>122</v>
      </c>
      <c r="C76" s="10" t="n">
        <f aca="false">C65</f>
        <v>26</v>
      </c>
      <c r="D76" s="10" t="n">
        <f aca="false">D65</f>
        <v>44</v>
      </c>
      <c r="E76" s="10" t="n">
        <f aca="false">E65</f>
        <v>35</v>
      </c>
      <c r="F76" s="8"/>
    </row>
    <row r="77" customFormat="false" ht="15" hidden="false" customHeight="false" outlineLevel="0" collapsed="false">
      <c r="A77" s="8"/>
      <c r="B77" s="9" t="s">
        <v>123</v>
      </c>
      <c r="C77" s="9" t="n">
        <f aca="false">SUM(C70:C76)</f>
        <v>252</v>
      </c>
      <c r="D77" s="9" t="n">
        <f aca="false">SUM(D70:D76)</f>
        <v>404</v>
      </c>
      <c r="E77" s="9" t="n">
        <f aca="false">SUM(E70:E76)</f>
        <v>328</v>
      </c>
      <c r="F77" s="8"/>
    </row>
    <row r="79" customFormat="false" ht="15" hidden="false" customHeight="false" outlineLevel="0" collapsed="false">
      <c r="A79" s="3" t="s">
        <v>124</v>
      </c>
    </row>
    <row r="80" customFormat="false" ht="22.35" hidden="false" customHeight="false" outlineLevel="0" collapsed="false">
      <c r="B80" s="11" t="s">
        <v>125</v>
      </c>
      <c r="C80" s="12" t="n">
        <v>0.1</v>
      </c>
      <c r="F80" s="13" t="s">
        <v>126</v>
      </c>
    </row>
    <row r="81" customFormat="false" ht="15" hidden="false" customHeight="false" outlineLevel="0" collapsed="false">
      <c r="B81" s="11" t="s">
        <v>127</v>
      </c>
      <c r="C81" s="12" t="n">
        <v>0.12</v>
      </c>
      <c r="F81" s="13" t="s">
        <v>128</v>
      </c>
    </row>
    <row r="82" customFormat="false" ht="22.35" hidden="false" customHeight="false" outlineLevel="0" collapsed="false">
      <c r="B82" s="11" t="s">
        <v>129</v>
      </c>
      <c r="C82" s="12" t="n">
        <v>0.15</v>
      </c>
      <c r="F82" s="13" t="s">
        <v>130</v>
      </c>
    </row>
    <row r="83" customFormat="false" ht="15" hidden="false" customHeight="false" outlineLevel="0" collapsed="false">
      <c r="B83" s="11" t="s">
        <v>131</v>
      </c>
      <c r="C83" s="14" t="n">
        <v>1</v>
      </c>
      <c r="F83" s="13" t="s">
        <v>132</v>
      </c>
    </row>
    <row r="84" customFormat="false" ht="15" hidden="false" customHeight="false" outlineLevel="0" collapsed="false">
      <c r="B84" s="11" t="s">
        <v>133</v>
      </c>
      <c r="C84" s="14" t="n">
        <v>1</v>
      </c>
      <c r="F84" s="13" t="s">
        <v>134</v>
      </c>
    </row>
    <row r="86" customFormat="false" ht="15" hidden="false" customHeight="false" outlineLevel="0" collapsed="false">
      <c r="A86" s="3" t="s">
        <v>135</v>
      </c>
    </row>
    <row r="87" customFormat="false" ht="15" hidden="false" customHeight="false" outlineLevel="0" collapsed="false">
      <c r="A87" s="4" t="s">
        <v>4</v>
      </c>
      <c r="B87" s="4" t="s">
        <v>5</v>
      </c>
      <c r="C87" s="4" t="s">
        <v>6</v>
      </c>
      <c r="D87" s="4" t="s">
        <v>7</v>
      </c>
      <c r="E87" s="4" t="s">
        <v>8</v>
      </c>
      <c r="F87" s="4" t="s">
        <v>9</v>
      </c>
    </row>
    <row r="88" customFormat="false" ht="15" hidden="false" customHeight="false" outlineLevel="0" collapsed="false">
      <c r="A88" s="8"/>
      <c r="B88" s="15" t="s">
        <v>136</v>
      </c>
      <c r="C88" s="16" t="n">
        <f aca="false">C77 - (1-$C$83)*C15 - (1-$C$84)*C44</f>
        <v>252</v>
      </c>
      <c r="D88" s="16" t="n">
        <f aca="false">D77 - (1-$C$83)*D15 - (1-$C$84)*D44</f>
        <v>404</v>
      </c>
      <c r="E88" s="16" t="n">
        <f aca="false">E77 - (1-$C$83)*E15 - (1-$C$84)*E44</f>
        <v>328</v>
      </c>
      <c r="F88" s="8"/>
    </row>
    <row r="89" customFormat="false" ht="15" hidden="false" customHeight="false" outlineLevel="0" collapsed="false">
      <c r="A89" s="8"/>
      <c r="B89" s="5" t="s">
        <v>137</v>
      </c>
      <c r="C89" s="17" t="n">
        <f aca="false">(C88)*$C$80</f>
        <v>25.2</v>
      </c>
      <c r="D89" s="17" t="n">
        <f aca="false">(D88)*$C$80</f>
        <v>40.4</v>
      </c>
      <c r="E89" s="17" t="n">
        <f aca="false">(E88)*$C$80</f>
        <v>32.8</v>
      </c>
      <c r="F89" s="8"/>
    </row>
    <row r="90" customFormat="false" ht="15" hidden="false" customHeight="false" outlineLevel="0" collapsed="false">
      <c r="A90" s="8"/>
      <c r="B90" s="5" t="s">
        <v>138</v>
      </c>
      <c r="C90" s="17" t="n">
        <f aca="false">(C88+C89)*$C$81</f>
        <v>33.264</v>
      </c>
      <c r="D90" s="17" t="n">
        <f aca="false">(D88+D89)*$C$81</f>
        <v>53.328</v>
      </c>
      <c r="E90" s="17" t="n">
        <f aca="false">(E88+E89)*$C$81</f>
        <v>43.296</v>
      </c>
      <c r="F90" s="8"/>
    </row>
    <row r="91" customFormat="false" ht="15" hidden="false" customHeight="false" outlineLevel="0" collapsed="false">
      <c r="A91" s="8"/>
      <c r="B91" s="5" t="s">
        <v>139</v>
      </c>
      <c r="C91" s="17" t="n">
        <f aca="false">(C88+C89+C90)*$C$82</f>
        <v>46.5696</v>
      </c>
      <c r="D91" s="17" t="n">
        <f aca="false">(D88+D89+D90)*$C$82</f>
        <v>74.6592</v>
      </c>
      <c r="E91" s="17" t="n">
        <f aca="false">(E88+E89+E90)*$C$82</f>
        <v>60.6144</v>
      </c>
      <c r="F91" s="8"/>
    </row>
    <row r="92" customFormat="false" ht="15" hidden="false" customHeight="false" outlineLevel="0" collapsed="false">
      <c r="A92" s="8"/>
      <c r="B92" s="15" t="s">
        <v>140</v>
      </c>
      <c r="C92" s="18" t="n">
        <f aca="false">C88+C89+C90+C91</f>
        <v>357.0336</v>
      </c>
      <c r="D92" s="18" t="n">
        <f aca="false">D88+D89+D90+D91</f>
        <v>572.3872</v>
      </c>
      <c r="E92" s="18" t="n">
        <f aca="false">E88+E89+E90+E91</f>
        <v>464.7104</v>
      </c>
      <c r="F92" s="8"/>
    </row>
    <row r="93" customFormat="false" ht="15" hidden="false" customHeight="false" outlineLevel="0" collapsed="false">
      <c r="A93" s="8"/>
      <c r="B93" s="5" t="s">
        <v>141</v>
      </c>
      <c r="C93" s="19" t="n">
        <f aca="false">C92/18</f>
        <v>19.8352</v>
      </c>
      <c r="D93" s="19" t="n">
        <f aca="false">D92/18</f>
        <v>31.7992888888889</v>
      </c>
      <c r="E93" s="19" t="n">
        <f aca="false">E92/18</f>
        <v>25.8172444444444</v>
      </c>
      <c r="F93" s="8"/>
    </row>
    <row r="95" customFormat="false" ht="15" hidden="false" customHeight="false" outlineLevel="0" collapsed="false">
      <c r="A95" s="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1" t="s">
        <v>143</v>
      </c>
    </row>
    <row r="2" customFormat="false" ht="15" hidden="false" customHeight="false" outlineLevel="0" collapsed="false">
      <c r="B2" s="20" t="s">
        <v>144</v>
      </c>
    </row>
    <row r="3" customFormat="false" ht="15" hidden="false" customHeight="false" outlineLevel="0" collapsed="false">
      <c r="B3" s="20" t="s">
        <v>145</v>
      </c>
    </row>
    <row r="4" customFormat="false" ht="15" hidden="false" customHeight="false" outlineLevel="0" collapsed="false">
      <c r="B4" s="20" t="s">
        <v>146</v>
      </c>
    </row>
    <row r="5" customFormat="false" ht="23.85" hidden="false" customHeight="false" outlineLevel="0" collapsed="false">
      <c r="B5" s="20" t="s">
        <v>147</v>
      </c>
    </row>
    <row r="6" customFormat="false" ht="15" hidden="false" customHeight="false" outlineLevel="0" collapsed="false">
      <c r="B6" s="20" t="s">
        <v>148</v>
      </c>
    </row>
    <row r="7" customFormat="false" ht="15" hidden="false" customHeight="false" outlineLevel="0" collapsed="false">
      <c r="B7" s="20" t="s">
        <v>149</v>
      </c>
    </row>
    <row r="8" customFormat="false" ht="15" hidden="false" customHeight="false" outlineLevel="0" collapsed="false">
      <c r="B8" s="20" t="s">
        <v>150</v>
      </c>
    </row>
    <row r="9" customFormat="false" ht="15" hidden="false" customHeight="false" outlineLevel="0" collapsed="false">
      <c r="B9" s="20" t="s">
        <v>151</v>
      </c>
    </row>
    <row r="10" customFormat="false" ht="23.85" hidden="false" customHeight="false" outlineLevel="0" collapsed="false">
      <c r="B10" s="20" t="s">
        <v>152</v>
      </c>
    </row>
    <row r="11" customFormat="false" ht="15" hidden="false" customHeight="false" outlineLevel="0" collapsed="false">
      <c r="B11" s="20" t="s">
        <v>153</v>
      </c>
    </row>
    <row r="13" customFormat="false" ht="17.35" hidden="false" customHeight="false" outlineLevel="0" collapsed="false">
      <c r="B13" s="1" t="s">
        <v>154</v>
      </c>
    </row>
    <row r="14" customFormat="false" ht="15" hidden="false" customHeight="false" outlineLevel="0" collapsed="false">
      <c r="B14" s="20" t="s">
        <v>155</v>
      </c>
    </row>
    <row r="15" customFormat="false" ht="15" hidden="false" customHeight="false" outlineLevel="0" collapsed="false">
      <c r="B15" s="20" t="s">
        <v>156</v>
      </c>
    </row>
    <row r="16" customFormat="false" ht="15" hidden="false" customHeight="false" outlineLevel="0" collapsed="false">
      <c r="B16" s="20" t="s">
        <v>157</v>
      </c>
    </row>
    <row r="17" customFormat="false" ht="15" hidden="false" customHeight="false" outlineLevel="0" collapsed="false">
      <c r="B17" s="20" t="s">
        <v>158</v>
      </c>
    </row>
    <row r="18" customFormat="false" ht="15" hidden="false" customHeight="false" outlineLevel="0" collapsed="false">
      <c r="B18" s="20" t="s">
        <v>159</v>
      </c>
    </row>
    <row r="19" customFormat="false" ht="23.85" hidden="false" customHeight="false" outlineLevel="0" collapsed="false">
      <c r="B19" s="20" t="s">
        <v>160</v>
      </c>
    </row>
    <row r="20" customFormat="false" ht="15" hidden="false" customHeight="false" outlineLevel="0" collapsed="false">
      <c r="B20" s="20" t="s">
        <v>161</v>
      </c>
    </row>
    <row r="22" customFormat="false" ht="17.35" hidden="false" customHeight="false" outlineLevel="0" collapsed="false">
      <c r="B22" s="1" t="s">
        <v>162</v>
      </c>
    </row>
    <row r="23" customFormat="false" ht="15" hidden="false" customHeight="false" outlineLevel="0" collapsed="false">
      <c r="B23" s="20" t="s">
        <v>163</v>
      </c>
    </row>
    <row r="24" customFormat="false" ht="23.85" hidden="false" customHeight="false" outlineLevel="0" collapsed="false">
      <c r="B24" s="20" t="s">
        <v>164</v>
      </c>
    </row>
    <row r="25" customFormat="false" ht="15" hidden="false" customHeight="false" outlineLevel="0" collapsed="false">
      <c r="B25" s="20" t="s">
        <v>165</v>
      </c>
    </row>
    <row r="26" customFormat="false" ht="15" hidden="false" customHeight="false" outlineLevel="0" collapsed="false">
      <c r="B26" s="20" t="s">
        <v>166</v>
      </c>
    </row>
    <row r="27" customFormat="false" ht="15" hidden="false" customHeight="false" outlineLevel="0" collapsed="false">
      <c r="B27" s="20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2026-07-24T13:32:54Z</dcterms:created>
  <dc:creator>openpyxl</dc:creator>
  <dc:description/>
  <dc:language>en-US</dc:language>
  <cp:lastModifiedBy/>
  <dcterms:modified xsi:type="dcterms:W3CDTF">2026-07-24T13:32:54Z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